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3040" windowHeight="9516"/>
  </bookViews>
  <sheets>
    <sheet name="grasp_metrics_all_scenarios" sheetId="1" r:id="rId1"/>
  </sheets>
  <calcPr calcId="0"/>
</workbook>
</file>

<file path=xl/calcChain.xml><?xml version="1.0" encoding="utf-8"?>
<calcChain xmlns="http://schemas.openxmlformats.org/spreadsheetml/2006/main">
  <c r="T5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2" i="1"/>
  <c r="Q5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2" i="1"/>
  <c r="N5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2" i="1"/>
  <c r="L5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2" i="1"/>
</calcChain>
</file>

<file path=xl/sharedStrings.xml><?xml version="1.0" encoding="utf-8"?>
<sst xmlns="http://schemas.openxmlformats.org/spreadsheetml/2006/main" count="63" uniqueCount="63">
  <si>
    <t>scenario</t>
  </si>
  <si>
    <t>initial_threat</t>
  </si>
  <si>
    <t>best</t>
  </si>
  <si>
    <t>mean</t>
  </si>
  <si>
    <t>avg_time_per_run_s</t>
  </si>
  <si>
    <t>restarts</t>
  </si>
  <si>
    <t>alpha</t>
  </si>
  <si>
    <t>seed</t>
  </si>
  <si>
    <t>scenario_001.json</t>
  </si>
  <si>
    <t>scenario_002.json</t>
  </si>
  <si>
    <t>scenario_003.json</t>
  </si>
  <si>
    <t>scenario_004.json</t>
  </si>
  <si>
    <t>scenario_005.json</t>
  </si>
  <si>
    <t>scenario_006.json</t>
  </si>
  <si>
    <t>scenario_007.json</t>
  </si>
  <si>
    <t>scenario_008.json</t>
  </si>
  <si>
    <t>scenario_009.json</t>
  </si>
  <si>
    <t>scenario_010.json</t>
  </si>
  <si>
    <t>scenario_011.json</t>
  </si>
  <si>
    <t>scenario_012.json</t>
  </si>
  <si>
    <t>scenario_013.json</t>
  </si>
  <si>
    <t>scenario_014.json</t>
  </si>
  <si>
    <t>scenario_015.json</t>
  </si>
  <si>
    <t>scenario_016.json</t>
  </si>
  <si>
    <t>scenario_017.json</t>
  </si>
  <si>
    <t>scenario_018.json</t>
  </si>
  <si>
    <t>scenario_019.json</t>
  </si>
  <si>
    <t>scenario_020.json</t>
  </si>
  <si>
    <t>scenario_021.json</t>
  </si>
  <si>
    <t>scenario_022.json</t>
  </si>
  <si>
    <t>scenario_023.json</t>
  </si>
  <si>
    <t>scenario_024.json</t>
  </si>
  <si>
    <t>scenario_025.json</t>
  </si>
  <si>
    <t>scenario_026.json</t>
  </si>
  <si>
    <t>scenario_027.json</t>
  </si>
  <si>
    <t>scenario_028.json</t>
  </si>
  <si>
    <t>scenario_029.json</t>
  </si>
  <si>
    <t>scenario_030.json</t>
  </si>
  <si>
    <t>scenario_031.json</t>
  </si>
  <si>
    <t>scenario_032.json</t>
  </si>
  <si>
    <t>scenario_033.json</t>
  </si>
  <si>
    <t>scenario_034.json</t>
  </si>
  <si>
    <t>scenario_035.json</t>
  </si>
  <si>
    <t>scenario_036.json</t>
  </si>
  <si>
    <t>scenario_037.json</t>
  </si>
  <si>
    <t>scenario_038.json</t>
  </si>
  <si>
    <t>scenario_039.json</t>
  </si>
  <si>
    <t>scenario_040.json</t>
  </si>
  <si>
    <t>scenario_041.json</t>
  </si>
  <si>
    <t>scenario_042.json</t>
  </si>
  <si>
    <t>scenario_043.json</t>
  </si>
  <si>
    <t>scenario_044.json</t>
  </si>
  <si>
    <t>scenario_045.json</t>
  </si>
  <si>
    <t>scenario_046.json</t>
  </si>
  <si>
    <t>scenario_047.json</t>
  </si>
  <si>
    <t>scenario_048.json</t>
  </si>
  <si>
    <t>scenario_049.json</t>
  </si>
  <si>
    <t>scenario_050.json</t>
  </si>
  <si>
    <t>average gap</t>
  </si>
  <si>
    <t>average time gap</t>
  </si>
  <si>
    <t>with regret</t>
  </si>
  <si>
    <t>with regret &amp;surv only</t>
  </si>
  <si>
    <t>with regret &amp; survival + 10e-5 * threat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</si>
</sst>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tabSelected="1" topLeftCell="K29" workbookViewId="0">
      <selection activeCell="S58" sqref="S58"/>
    </sheetView>
  </sheetViews>
  <sheetFormatPr defaultRowHeight="14.4" x14ac:dyDescent="0.3"/>
  <cols>
    <col min="1" max="1" width="15.6640625" customWidth="1"/>
    <col min="2" max="2" width="11.5546875" customWidth="1"/>
    <col min="11" max="11" width="12.109375" customWidth="1"/>
    <col min="13" max="13" width="15.332031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60</v>
      </c>
      <c r="P1" t="s">
        <v>62</v>
      </c>
      <c r="S1" t="s">
        <v>61</v>
      </c>
    </row>
    <row r="2" spans="1:20" x14ac:dyDescent="0.3">
      <c r="A2" t="s">
        <v>8</v>
      </c>
      <c r="B2">
        <v>79.215999999999894</v>
      </c>
      <c r="C2">
        <v>12.038764</v>
      </c>
      <c r="D2">
        <v>13.465881</v>
      </c>
      <c r="E2">
        <v>5.9700000000000003E-2</v>
      </c>
      <c r="F2">
        <v>10</v>
      </c>
      <c r="G2">
        <v>0.15</v>
      </c>
      <c r="H2">
        <v>42</v>
      </c>
      <c r="K2">
        <v>13.242915999999999</v>
      </c>
      <c r="L2">
        <f xml:space="preserve"> (K2 - D2) / D2</f>
        <v>-1.6557772937396395E-2</v>
      </c>
      <c r="M2">
        <v>5.5E-2</v>
      </c>
      <c r="N2">
        <f xml:space="preserve"> (M2 - E2)/E2</f>
        <v>-7.8726968174204395E-2</v>
      </c>
      <c r="P2">
        <v>6.5777530000000004</v>
      </c>
      <c r="Q2">
        <f xml:space="preserve"> (P2 - D2) / D2</f>
        <v>-0.51152449661481481</v>
      </c>
      <c r="S2">
        <v>6.2156169999999999</v>
      </c>
      <c r="T2">
        <f xml:space="preserve"> (S2 -D2) / D2</f>
        <v>-0.53841735271535518</v>
      </c>
    </row>
    <row r="3" spans="1:20" x14ac:dyDescent="0.3">
      <c r="A3" t="s">
        <v>9</v>
      </c>
      <c r="B3">
        <v>76.050999999999902</v>
      </c>
      <c r="C3">
        <v>8.4302779999999995</v>
      </c>
      <c r="D3">
        <v>9.5842010000000002</v>
      </c>
      <c r="E3">
        <v>0.59940000000000004</v>
      </c>
      <c r="F3">
        <v>10</v>
      </c>
      <c r="G3">
        <v>0.15</v>
      </c>
      <c r="H3">
        <v>42</v>
      </c>
      <c r="K3">
        <v>8.4383379999999999</v>
      </c>
      <c r="L3">
        <f t="shared" ref="L3:L51" si="0" xml:space="preserve"> (K3 - D3) / D3</f>
        <v>-0.11955748841244046</v>
      </c>
      <c r="M3">
        <v>0.41399999999999998</v>
      </c>
      <c r="N3">
        <f t="shared" ref="N3:N51" si="1" xml:space="preserve"> (M3 - E3)/E3</f>
        <v>-0.30930930930930939</v>
      </c>
      <c r="P3">
        <v>4.6142919999999998</v>
      </c>
      <c r="Q3">
        <f t="shared" ref="Q3:Q51" si="2" xml:space="preserve"> (P3 - D3) / D3</f>
        <v>-0.51855225073013389</v>
      </c>
      <c r="S3">
        <v>3.3460320000000001</v>
      </c>
      <c r="T3">
        <f t="shared" ref="T3:T51" si="3" xml:space="preserve"> (S3 -D3) / D3</f>
        <v>-0.65088044376364806</v>
      </c>
    </row>
    <row r="4" spans="1:20" x14ac:dyDescent="0.3">
      <c r="A4" t="s">
        <v>10</v>
      </c>
      <c r="B4">
        <v>71.400999999999996</v>
      </c>
      <c r="C4">
        <v>4.7867759999999997</v>
      </c>
      <c r="D4">
        <v>5.1735160000000002</v>
      </c>
      <c r="E4">
        <v>0.21790000000000001</v>
      </c>
      <c r="F4">
        <v>10</v>
      </c>
      <c r="G4">
        <v>0.15</v>
      </c>
      <c r="H4">
        <v>42</v>
      </c>
      <c r="K4">
        <v>5.5644419999999997</v>
      </c>
      <c r="L4">
        <f t="shared" si="0"/>
        <v>7.5562924711163437E-2</v>
      </c>
      <c r="M4">
        <v>0.32900000000000001</v>
      </c>
      <c r="N4">
        <f t="shared" si="1"/>
        <v>0.50986691142726026</v>
      </c>
      <c r="P4">
        <v>2.3403749999999999</v>
      </c>
      <c r="Q4">
        <f t="shared" si="2"/>
        <v>-0.54762389833142489</v>
      </c>
      <c r="S4">
        <v>2.060136</v>
      </c>
      <c r="T4">
        <f t="shared" si="3"/>
        <v>-0.6017918954923499</v>
      </c>
    </row>
    <row r="5" spans="1:20" x14ac:dyDescent="0.3">
      <c r="A5" t="s">
        <v>11</v>
      </c>
      <c r="B5">
        <v>70.48</v>
      </c>
      <c r="C5">
        <v>2.187252</v>
      </c>
      <c r="D5">
        <v>2.602169</v>
      </c>
      <c r="E5">
        <v>0.1002</v>
      </c>
      <c r="F5">
        <v>10</v>
      </c>
      <c r="G5">
        <v>0.15</v>
      </c>
      <c r="H5">
        <v>42</v>
      </c>
      <c r="K5">
        <v>2.982094</v>
      </c>
      <c r="L5">
        <f t="shared" si="0"/>
        <v>0.14600319963845548</v>
      </c>
      <c r="M5">
        <v>7.9000000000000001E-2</v>
      </c>
      <c r="N5">
        <f t="shared" si="1"/>
        <v>-0.21157684630738521</v>
      </c>
      <c r="P5">
        <v>0.97158100000000003</v>
      </c>
      <c r="Q5">
        <f t="shared" si="2"/>
        <v>-0.6266264796790677</v>
      </c>
      <c r="S5">
        <v>0.57918700000000001</v>
      </c>
      <c r="T5">
        <f t="shared" si="3"/>
        <v>-0.7774214511048283</v>
      </c>
    </row>
    <row r="6" spans="1:20" x14ac:dyDescent="0.3">
      <c r="A6" t="s">
        <v>12</v>
      </c>
      <c r="B6">
        <v>73.075999999999993</v>
      </c>
      <c r="C6">
        <v>3.955924</v>
      </c>
      <c r="D6">
        <v>4.1109730000000004</v>
      </c>
      <c r="E6">
        <v>0.1363</v>
      </c>
      <c r="F6">
        <v>10</v>
      </c>
      <c r="G6">
        <v>0.15</v>
      </c>
      <c r="H6">
        <v>42</v>
      </c>
      <c r="K6">
        <v>3.8624200000000002</v>
      </c>
      <c r="L6">
        <f t="shared" si="0"/>
        <v>-6.0460868996220656E-2</v>
      </c>
      <c r="M6">
        <v>0.09</v>
      </c>
      <c r="N6">
        <f t="shared" si="1"/>
        <v>-0.33969185619955983</v>
      </c>
      <c r="P6">
        <v>3.21543</v>
      </c>
      <c r="Q6">
        <f t="shared" si="2"/>
        <v>-0.21784210210088958</v>
      </c>
      <c r="S6">
        <v>1.760572</v>
      </c>
      <c r="T6">
        <f t="shared" si="3"/>
        <v>-0.57173836948089918</v>
      </c>
    </row>
    <row r="7" spans="1:20" x14ac:dyDescent="0.3">
      <c r="A7" t="s">
        <v>13</v>
      </c>
      <c r="B7">
        <v>73.184999999999903</v>
      </c>
      <c r="C7">
        <v>4.7920150000000001</v>
      </c>
      <c r="D7">
        <v>5.309895</v>
      </c>
      <c r="E7">
        <v>0.35410000000000003</v>
      </c>
      <c r="F7">
        <v>10</v>
      </c>
      <c r="G7">
        <v>0.15</v>
      </c>
      <c r="H7">
        <v>42</v>
      </c>
      <c r="K7">
        <v>5.2276910000000001</v>
      </c>
      <c r="L7">
        <f t="shared" si="0"/>
        <v>-1.5481285411481761E-2</v>
      </c>
      <c r="M7">
        <v>0.30299999999999999</v>
      </c>
      <c r="N7">
        <f t="shared" si="1"/>
        <v>-0.14430951708556913</v>
      </c>
      <c r="P7">
        <v>1.7974540000000001</v>
      </c>
      <c r="Q7">
        <f t="shared" si="2"/>
        <v>-0.66148972813963358</v>
      </c>
      <c r="S7">
        <v>1.613658</v>
      </c>
      <c r="T7">
        <f t="shared" si="3"/>
        <v>-0.69610359526883303</v>
      </c>
    </row>
    <row r="8" spans="1:20" x14ac:dyDescent="0.3">
      <c r="A8" t="s">
        <v>14</v>
      </c>
      <c r="B8">
        <v>76.832999999999998</v>
      </c>
      <c r="C8">
        <v>14.004173</v>
      </c>
      <c r="D8">
        <v>14.922750000000001</v>
      </c>
      <c r="E8">
        <v>0.15939999999999999</v>
      </c>
      <c r="F8">
        <v>10</v>
      </c>
      <c r="G8">
        <v>0.15</v>
      </c>
      <c r="H8">
        <v>42</v>
      </c>
      <c r="K8">
        <v>14.547563</v>
      </c>
      <c r="L8">
        <f t="shared" si="0"/>
        <v>-2.5141947697307827E-2</v>
      </c>
      <c r="M8">
        <v>0.127</v>
      </c>
      <c r="N8">
        <f t="shared" si="1"/>
        <v>-0.20326223337515675</v>
      </c>
      <c r="P8">
        <v>7.9606870000000001</v>
      </c>
      <c r="Q8">
        <f t="shared" si="2"/>
        <v>-0.46654021544286411</v>
      </c>
      <c r="S8">
        <v>7.5315599999999998</v>
      </c>
      <c r="T8">
        <f t="shared" si="3"/>
        <v>-0.49529677840880537</v>
      </c>
    </row>
    <row r="9" spans="1:20" x14ac:dyDescent="0.3">
      <c r="A9" t="s">
        <v>15</v>
      </c>
      <c r="B9">
        <v>73.107999999999905</v>
      </c>
      <c r="C9">
        <v>2.9405700000000001</v>
      </c>
      <c r="D9">
        <v>3.2856529999999999</v>
      </c>
      <c r="E9">
        <v>0.17299999999999999</v>
      </c>
      <c r="F9">
        <v>10</v>
      </c>
      <c r="G9">
        <v>0.15</v>
      </c>
      <c r="H9">
        <v>42</v>
      </c>
      <c r="K9">
        <v>2.7556150000000001</v>
      </c>
      <c r="L9">
        <f t="shared" si="0"/>
        <v>-0.16131892199206666</v>
      </c>
      <c r="M9">
        <v>0.127</v>
      </c>
      <c r="N9">
        <f t="shared" si="1"/>
        <v>-0.26589595375722536</v>
      </c>
      <c r="P9">
        <v>1.517085</v>
      </c>
      <c r="Q9">
        <f t="shared" si="2"/>
        <v>-0.53826986599010906</v>
      </c>
      <c r="S9">
        <v>0.92336200000000002</v>
      </c>
      <c r="T9">
        <f t="shared" si="3"/>
        <v>-0.71897154081700043</v>
      </c>
    </row>
    <row r="10" spans="1:20" x14ac:dyDescent="0.3">
      <c r="A10" t="s">
        <v>16</v>
      </c>
      <c r="B10">
        <v>71.39</v>
      </c>
      <c r="C10">
        <v>9.9003779999999999</v>
      </c>
      <c r="D10">
        <v>11.556343999999999</v>
      </c>
      <c r="E10">
        <v>0.19800000000000001</v>
      </c>
      <c r="F10">
        <v>10</v>
      </c>
      <c r="G10">
        <v>0.15</v>
      </c>
      <c r="H10">
        <v>42</v>
      </c>
      <c r="K10">
        <v>10.733542</v>
      </c>
      <c r="L10">
        <f t="shared" si="0"/>
        <v>-7.1199161257228014E-2</v>
      </c>
      <c r="M10">
        <v>0.10100000000000001</v>
      </c>
      <c r="N10">
        <f t="shared" si="1"/>
        <v>-0.48989898989898989</v>
      </c>
      <c r="P10">
        <v>6.6967990000000004</v>
      </c>
      <c r="Q10">
        <f t="shared" si="2"/>
        <v>-0.42050885643418018</v>
      </c>
      <c r="S10">
        <v>5.8569750000000003</v>
      </c>
      <c r="T10">
        <f t="shared" si="3"/>
        <v>-0.49318097488271373</v>
      </c>
    </row>
    <row r="11" spans="1:20" x14ac:dyDescent="0.3">
      <c r="A11" t="s">
        <v>17</v>
      </c>
      <c r="B11">
        <v>78.333999999999904</v>
      </c>
      <c r="C11">
        <v>17.907525</v>
      </c>
      <c r="D11">
        <v>18.853732000000001</v>
      </c>
      <c r="E11">
        <v>0.29659999999999997</v>
      </c>
      <c r="F11">
        <v>10</v>
      </c>
      <c r="G11">
        <v>0.15</v>
      </c>
      <c r="H11">
        <v>42</v>
      </c>
      <c r="K11">
        <v>17.582863</v>
      </c>
      <c r="L11">
        <f t="shared" si="0"/>
        <v>-6.7406760634976734E-2</v>
      </c>
      <c r="M11">
        <v>0.30599999999999999</v>
      </c>
      <c r="N11">
        <f t="shared" si="1"/>
        <v>3.1692515171948821E-2</v>
      </c>
      <c r="P11">
        <v>14.823582999999999</v>
      </c>
      <c r="Q11">
        <f t="shared" si="2"/>
        <v>-0.21375868713950116</v>
      </c>
      <c r="S11">
        <v>14.818052</v>
      </c>
      <c r="T11">
        <f t="shared" si="3"/>
        <v>-0.21405205080882664</v>
      </c>
    </row>
    <row r="12" spans="1:20" x14ac:dyDescent="0.3">
      <c r="A12" t="s">
        <v>18</v>
      </c>
      <c r="B12">
        <v>70.810999999999893</v>
      </c>
      <c r="C12">
        <v>18.874351999999998</v>
      </c>
      <c r="D12">
        <v>19.422993999999999</v>
      </c>
      <c r="E12">
        <v>0.17319999999999999</v>
      </c>
      <c r="F12">
        <v>10</v>
      </c>
      <c r="G12">
        <v>0.15</v>
      </c>
      <c r="H12">
        <v>42</v>
      </c>
      <c r="K12">
        <v>18.718222000000001</v>
      </c>
      <c r="L12">
        <f t="shared" si="0"/>
        <v>-3.6285446002814935E-2</v>
      </c>
      <c r="M12">
        <v>0.123</v>
      </c>
      <c r="N12">
        <f t="shared" si="1"/>
        <v>-0.289838337182448</v>
      </c>
      <c r="P12">
        <v>18.739964000000001</v>
      </c>
      <c r="Q12">
        <f t="shared" si="2"/>
        <v>-3.5166051124764737E-2</v>
      </c>
      <c r="S12">
        <v>18.17643</v>
      </c>
      <c r="T12">
        <f t="shared" si="3"/>
        <v>-6.4179806676560744E-2</v>
      </c>
    </row>
    <row r="13" spans="1:20" x14ac:dyDescent="0.3">
      <c r="A13" t="s">
        <v>19</v>
      </c>
      <c r="B13">
        <v>76.37</v>
      </c>
      <c r="C13">
        <v>1.8210379999999999</v>
      </c>
      <c r="D13">
        <v>2.072041</v>
      </c>
      <c r="E13">
        <v>0.114</v>
      </c>
      <c r="F13">
        <v>10</v>
      </c>
      <c r="G13">
        <v>0.15</v>
      </c>
      <c r="H13">
        <v>42</v>
      </c>
      <c r="K13">
        <v>2.0113129999999999</v>
      </c>
      <c r="L13">
        <f t="shared" si="0"/>
        <v>-2.9308300366643378E-2</v>
      </c>
      <c r="M13">
        <v>8.2000000000000003E-2</v>
      </c>
      <c r="N13">
        <f t="shared" si="1"/>
        <v>-0.2807017543859649</v>
      </c>
      <c r="P13">
        <v>1.0686230000000001</v>
      </c>
      <c r="Q13">
        <f t="shared" si="2"/>
        <v>-0.48426551405112156</v>
      </c>
      <c r="S13">
        <v>0.58323000000000003</v>
      </c>
      <c r="T13">
        <f t="shared" si="3"/>
        <v>-0.71852390951723455</v>
      </c>
    </row>
    <row r="14" spans="1:20" x14ac:dyDescent="0.3">
      <c r="A14" t="s">
        <v>20</v>
      </c>
      <c r="B14">
        <v>73.944999999999993</v>
      </c>
      <c r="C14">
        <v>9.1657080000000004</v>
      </c>
      <c r="D14">
        <v>9.7527290000000004</v>
      </c>
      <c r="E14">
        <v>0.2321</v>
      </c>
      <c r="F14">
        <v>10</v>
      </c>
      <c r="G14">
        <v>0.15</v>
      </c>
      <c r="H14">
        <v>42</v>
      </c>
      <c r="K14">
        <v>9.0215829999999997</v>
      </c>
      <c r="L14">
        <f t="shared" si="0"/>
        <v>-7.4968349884427299E-2</v>
      </c>
      <c r="M14">
        <v>0.14399999999999999</v>
      </c>
      <c r="N14">
        <f t="shared" si="1"/>
        <v>-0.37957776820336064</v>
      </c>
      <c r="P14">
        <v>3.9643730000000001</v>
      </c>
      <c r="Q14">
        <f t="shared" si="2"/>
        <v>-0.59351141613798564</v>
      </c>
      <c r="S14">
        <v>3.152498</v>
      </c>
      <c r="T14">
        <f t="shared" si="3"/>
        <v>-0.67675734658473552</v>
      </c>
    </row>
    <row r="15" spans="1:20" x14ac:dyDescent="0.3">
      <c r="A15" t="s">
        <v>21</v>
      </c>
      <c r="B15">
        <v>70.999999999999901</v>
      </c>
      <c r="C15">
        <v>2.5397500000000002</v>
      </c>
      <c r="D15">
        <v>2.9241480000000002</v>
      </c>
      <c r="E15">
        <v>0.32869999999999999</v>
      </c>
      <c r="F15">
        <v>10</v>
      </c>
      <c r="G15">
        <v>0.15</v>
      </c>
      <c r="H15">
        <v>42</v>
      </c>
      <c r="K15">
        <v>2.3529870000000002</v>
      </c>
      <c r="L15">
        <f t="shared" si="0"/>
        <v>-0.19532561279388047</v>
      </c>
      <c r="M15">
        <v>0.309</v>
      </c>
      <c r="N15">
        <f t="shared" si="1"/>
        <v>-5.9933069668390619E-2</v>
      </c>
      <c r="P15">
        <v>0.55938399999999999</v>
      </c>
      <c r="Q15">
        <f t="shared" si="2"/>
        <v>-0.80870188513030117</v>
      </c>
      <c r="S15">
        <v>0.65298500000000004</v>
      </c>
      <c r="T15">
        <f t="shared" si="3"/>
        <v>-0.77669221940886712</v>
      </c>
    </row>
    <row r="16" spans="1:20" x14ac:dyDescent="0.3">
      <c r="A16" t="s">
        <v>22</v>
      </c>
      <c r="B16">
        <v>73.215000000000003</v>
      </c>
      <c r="C16">
        <v>15.245011999999999</v>
      </c>
      <c r="D16">
        <v>16.096147999999999</v>
      </c>
      <c r="E16">
        <v>0.46989999999999998</v>
      </c>
      <c r="F16">
        <v>10</v>
      </c>
      <c r="G16">
        <v>0.15</v>
      </c>
      <c r="H16">
        <v>42</v>
      </c>
      <c r="K16">
        <v>15.109329000000001</v>
      </c>
      <c r="L16">
        <f t="shared" si="0"/>
        <v>-6.1307773760529462E-2</v>
      </c>
      <c r="M16">
        <v>0.432</v>
      </c>
      <c r="N16">
        <f t="shared" si="1"/>
        <v>-8.0655458608214492E-2</v>
      </c>
      <c r="P16">
        <v>11.239217</v>
      </c>
      <c r="Q16">
        <f t="shared" si="2"/>
        <v>-0.30174492679863529</v>
      </c>
      <c r="S16">
        <v>10.639646000000001</v>
      </c>
      <c r="T16">
        <f t="shared" si="3"/>
        <v>-0.33899427366100254</v>
      </c>
    </row>
    <row r="17" spans="1:20" x14ac:dyDescent="0.3">
      <c r="A17" t="s">
        <v>23</v>
      </c>
      <c r="B17">
        <v>73.558000000000007</v>
      </c>
      <c r="C17">
        <v>4.3307950000000002</v>
      </c>
      <c r="D17">
        <v>5.0020699999999998</v>
      </c>
      <c r="E17">
        <v>0.1016</v>
      </c>
      <c r="F17">
        <v>10</v>
      </c>
      <c r="G17">
        <v>0.15</v>
      </c>
      <c r="H17">
        <v>42</v>
      </c>
      <c r="K17">
        <v>4.8264050000000003</v>
      </c>
      <c r="L17">
        <f t="shared" si="0"/>
        <v>-3.5118460957163637E-2</v>
      </c>
      <c r="M17">
        <v>7.1999999999999995E-2</v>
      </c>
      <c r="N17">
        <f t="shared" si="1"/>
        <v>-0.29133858267716539</v>
      </c>
      <c r="P17">
        <v>2.1511269999999998</v>
      </c>
      <c r="Q17">
        <f t="shared" si="2"/>
        <v>-0.56995263960720266</v>
      </c>
      <c r="S17">
        <v>1.173306</v>
      </c>
      <c r="T17">
        <f t="shared" si="3"/>
        <v>-0.76543590953345308</v>
      </c>
    </row>
    <row r="18" spans="1:20" x14ac:dyDescent="0.3">
      <c r="A18" t="s">
        <v>24</v>
      </c>
      <c r="B18">
        <v>70.741</v>
      </c>
      <c r="C18">
        <v>12.158789000000001</v>
      </c>
      <c r="D18">
        <v>12.812471</v>
      </c>
      <c r="E18">
        <v>0.26550000000000001</v>
      </c>
      <c r="F18">
        <v>10</v>
      </c>
      <c r="G18">
        <v>0.15</v>
      </c>
      <c r="H18">
        <v>42</v>
      </c>
      <c r="K18">
        <v>12.048984000000001</v>
      </c>
      <c r="L18">
        <f t="shared" si="0"/>
        <v>-5.9589364143731491E-2</v>
      </c>
      <c r="M18">
        <v>0.18</v>
      </c>
      <c r="N18">
        <f t="shared" si="1"/>
        <v>-0.32203389830508483</v>
      </c>
      <c r="P18">
        <v>7.6414</v>
      </c>
      <c r="Q18">
        <f t="shared" si="2"/>
        <v>-0.40359669887252819</v>
      </c>
      <c r="S18">
        <v>5.3161719999999999</v>
      </c>
      <c r="T18">
        <f t="shared" si="3"/>
        <v>-0.58507831939678145</v>
      </c>
    </row>
    <row r="19" spans="1:20" x14ac:dyDescent="0.3">
      <c r="A19" t="s">
        <v>25</v>
      </c>
      <c r="B19">
        <v>72.701999999999998</v>
      </c>
      <c r="C19">
        <v>4.4543030000000003</v>
      </c>
      <c r="D19">
        <v>4.9793700000000003</v>
      </c>
      <c r="E19">
        <v>0.11409999999999999</v>
      </c>
      <c r="F19">
        <v>10</v>
      </c>
      <c r="G19">
        <v>0.15</v>
      </c>
      <c r="H19">
        <v>42</v>
      </c>
      <c r="K19">
        <v>4.8461410000000003</v>
      </c>
      <c r="L19">
        <f t="shared" si="0"/>
        <v>-2.6756196064964047E-2</v>
      </c>
      <c r="M19">
        <v>7.5999999999999998E-2</v>
      </c>
      <c r="N19">
        <f t="shared" si="1"/>
        <v>-0.33391761612620507</v>
      </c>
      <c r="P19">
        <v>0.78036300000000003</v>
      </c>
      <c r="Q19">
        <f t="shared" si="2"/>
        <v>-0.84328077648377198</v>
      </c>
      <c r="S19">
        <v>0.82734399999999997</v>
      </c>
      <c r="T19">
        <f t="shared" si="3"/>
        <v>-0.83384564714010001</v>
      </c>
    </row>
    <row r="20" spans="1:20" x14ac:dyDescent="0.3">
      <c r="A20" t="s">
        <v>26</v>
      </c>
      <c r="B20">
        <v>72.872</v>
      </c>
      <c r="C20">
        <v>3.75617</v>
      </c>
      <c r="D20">
        <v>4.2911989999999998</v>
      </c>
      <c r="E20">
        <v>0.1802</v>
      </c>
      <c r="F20">
        <v>10</v>
      </c>
      <c r="G20">
        <v>0.15</v>
      </c>
      <c r="H20">
        <v>42</v>
      </c>
      <c r="K20">
        <v>3.8330470000000001</v>
      </c>
      <c r="L20">
        <f t="shared" si="0"/>
        <v>-0.10676549840732152</v>
      </c>
      <c r="M20">
        <v>0.13600000000000001</v>
      </c>
      <c r="N20">
        <f t="shared" si="1"/>
        <v>-0.24528301886792447</v>
      </c>
      <c r="P20">
        <v>1.4657789999999999</v>
      </c>
      <c r="Q20">
        <f t="shared" si="2"/>
        <v>-0.65842204008716443</v>
      </c>
      <c r="S20">
        <v>1.1277379999999999</v>
      </c>
      <c r="T20">
        <f t="shared" si="3"/>
        <v>-0.73719745926488145</v>
      </c>
    </row>
    <row r="21" spans="1:20" x14ac:dyDescent="0.3">
      <c r="A21" t="s">
        <v>27</v>
      </c>
      <c r="B21">
        <v>74.352999999999994</v>
      </c>
      <c r="C21">
        <v>12.481023</v>
      </c>
      <c r="D21">
        <v>13.672408000000001</v>
      </c>
      <c r="E21">
        <v>0.24929999999999999</v>
      </c>
      <c r="F21">
        <v>10</v>
      </c>
      <c r="G21">
        <v>0.15</v>
      </c>
      <c r="H21">
        <v>42</v>
      </c>
      <c r="K21">
        <v>13.398161999999999</v>
      </c>
      <c r="L21">
        <f t="shared" si="0"/>
        <v>-2.0058354022203077E-2</v>
      </c>
      <c r="M21">
        <v>0.185</v>
      </c>
      <c r="N21">
        <f t="shared" si="1"/>
        <v>-0.25792218210990775</v>
      </c>
      <c r="P21">
        <v>10.234304</v>
      </c>
      <c r="Q21">
        <f t="shared" si="2"/>
        <v>-0.25146294639539729</v>
      </c>
      <c r="S21">
        <v>10.140161000000001</v>
      </c>
      <c r="T21">
        <f t="shared" si="3"/>
        <v>-0.25834856595853484</v>
      </c>
    </row>
    <row r="22" spans="1:20" x14ac:dyDescent="0.3">
      <c r="A22" t="s">
        <v>28</v>
      </c>
      <c r="B22">
        <v>72.483999999999995</v>
      </c>
      <c r="C22">
        <v>2.8004380000000002</v>
      </c>
      <c r="D22">
        <v>3.286089</v>
      </c>
      <c r="E22">
        <v>0.1777</v>
      </c>
      <c r="F22">
        <v>10</v>
      </c>
      <c r="G22">
        <v>0.15</v>
      </c>
      <c r="H22">
        <v>42</v>
      </c>
      <c r="K22">
        <v>4.3300520000000002</v>
      </c>
      <c r="L22">
        <f t="shared" si="0"/>
        <v>0.31769163890570223</v>
      </c>
      <c r="M22">
        <v>0.151</v>
      </c>
      <c r="N22">
        <f t="shared" si="1"/>
        <v>-0.15025323579065841</v>
      </c>
      <c r="P22">
        <v>2.9201139999999999</v>
      </c>
      <c r="Q22">
        <f t="shared" si="2"/>
        <v>-0.11137099451658192</v>
      </c>
      <c r="S22">
        <v>1.6219440000000001</v>
      </c>
      <c r="T22">
        <f t="shared" si="3"/>
        <v>-0.50642115901303952</v>
      </c>
    </row>
    <row r="23" spans="1:20" x14ac:dyDescent="0.3">
      <c r="A23" t="s">
        <v>29</v>
      </c>
      <c r="B23">
        <v>72.989999999999895</v>
      </c>
      <c r="C23">
        <v>7.3984589999999999</v>
      </c>
      <c r="D23">
        <v>8.1066739999999999</v>
      </c>
      <c r="E23">
        <v>0.21299999999999999</v>
      </c>
      <c r="F23">
        <v>10</v>
      </c>
      <c r="G23">
        <v>0.15</v>
      </c>
      <c r="H23">
        <v>42</v>
      </c>
      <c r="K23">
        <v>6.5828290000000003</v>
      </c>
      <c r="L23">
        <f t="shared" si="0"/>
        <v>-0.18797413094445387</v>
      </c>
      <c r="M23">
        <v>0.128</v>
      </c>
      <c r="N23">
        <f t="shared" si="1"/>
        <v>-0.39906103286384975</v>
      </c>
      <c r="P23">
        <v>3.8228939999999998</v>
      </c>
      <c r="Q23">
        <f t="shared" si="2"/>
        <v>-0.52842633119328597</v>
      </c>
      <c r="S23">
        <v>2.8357890000000001</v>
      </c>
      <c r="T23">
        <f t="shared" si="3"/>
        <v>-0.65019081808396384</v>
      </c>
    </row>
    <row r="24" spans="1:20" x14ac:dyDescent="0.3">
      <c r="A24" t="s">
        <v>30</v>
      </c>
      <c r="B24">
        <v>75.691999999999993</v>
      </c>
      <c r="C24">
        <v>11.569277</v>
      </c>
      <c r="D24">
        <v>12.502323000000001</v>
      </c>
      <c r="E24">
        <v>0.27939999999999998</v>
      </c>
      <c r="F24">
        <v>10</v>
      </c>
      <c r="G24">
        <v>0.15</v>
      </c>
      <c r="H24">
        <v>42</v>
      </c>
      <c r="K24">
        <v>11.018993</v>
      </c>
      <c r="L24">
        <f t="shared" si="0"/>
        <v>-0.11864435113378533</v>
      </c>
      <c r="M24">
        <v>0.17699999999999999</v>
      </c>
      <c r="N24">
        <f t="shared" si="1"/>
        <v>-0.36649964209019326</v>
      </c>
      <c r="P24">
        <v>8.6781310000000005</v>
      </c>
      <c r="Q24">
        <f t="shared" si="2"/>
        <v>-0.30587851553667267</v>
      </c>
      <c r="S24">
        <v>7.671977</v>
      </c>
      <c r="T24">
        <f t="shared" si="3"/>
        <v>-0.38635587962333084</v>
      </c>
    </row>
    <row r="25" spans="1:20" x14ac:dyDescent="0.3">
      <c r="A25" t="s">
        <v>31</v>
      </c>
      <c r="B25">
        <v>71.944000000000003</v>
      </c>
      <c r="C25">
        <v>3.7859159999999998</v>
      </c>
      <c r="D25">
        <v>4.6837229999999996</v>
      </c>
      <c r="E25">
        <v>0.28560000000000002</v>
      </c>
      <c r="F25">
        <v>10</v>
      </c>
      <c r="G25">
        <v>0.15</v>
      </c>
      <c r="H25">
        <v>42</v>
      </c>
      <c r="K25">
        <v>4.2856969999999999</v>
      </c>
      <c r="L25">
        <f t="shared" si="0"/>
        <v>-8.4980687371990146E-2</v>
      </c>
      <c r="M25">
        <v>0.218</v>
      </c>
      <c r="N25">
        <f t="shared" si="1"/>
        <v>-0.23669467787114851</v>
      </c>
      <c r="P25">
        <v>2.2427220000000001</v>
      </c>
      <c r="Q25">
        <f t="shared" si="2"/>
        <v>-0.52116681537315501</v>
      </c>
      <c r="S25">
        <v>2.1526529999999999</v>
      </c>
      <c r="T25">
        <f t="shared" si="3"/>
        <v>-0.5403970303111435</v>
      </c>
    </row>
    <row r="26" spans="1:20" x14ac:dyDescent="0.3">
      <c r="A26" t="s">
        <v>32</v>
      </c>
      <c r="B26">
        <v>76.610999999999905</v>
      </c>
      <c r="C26">
        <v>2.9860679999999999</v>
      </c>
      <c r="D26">
        <v>3.2654269999999999</v>
      </c>
      <c r="E26">
        <v>0.1308</v>
      </c>
      <c r="F26">
        <v>10</v>
      </c>
      <c r="G26">
        <v>0.15</v>
      </c>
      <c r="H26">
        <v>42</v>
      </c>
      <c r="K26">
        <v>3.2718389999999999</v>
      </c>
      <c r="L26">
        <f t="shared" si="0"/>
        <v>1.9636023098970165E-3</v>
      </c>
      <c r="M26">
        <v>0.13</v>
      </c>
      <c r="N26">
        <f t="shared" si="1"/>
        <v>-6.1162079510702991E-3</v>
      </c>
      <c r="P26">
        <v>0.92461599999999999</v>
      </c>
      <c r="Q26">
        <f t="shared" si="2"/>
        <v>-0.71684683197633881</v>
      </c>
      <c r="S26">
        <v>0.73129599999999995</v>
      </c>
      <c r="T26">
        <f t="shared" si="3"/>
        <v>-0.77604889039013891</v>
      </c>
    </row>
    <row r="27" spans="1:20" x14ac:dyDescent="0.3">
      <c r="A27" t="s">
        <v>33</v>
      </c>
      <c r="B27">
        <v>74.804000000000002</v>
      </c>
      <c r="C27">
        <v>7.7710059999999999</v>
      </c>
      <c r="D27">
        <v>8.6714179999999992</v>
      </c>
      <c r="E27">
        <v>0.20910000000000001</v>
      </c>
      <c r="F27">
        <v>10</v>
      </c>
      <c r="G27">
        <v>0.15</v>
      </c>
      <c r="H27">
        <v>42</v>
      </c>
      <c r="K27">
        <v>8.7485859999999995</v>
      </c>
      <c r="L27">
        <f t="shared" si="0"/>
        <v>8.8991212279237782E-3</v>
      </c>
      <c r="M27">
        <v>0.109</v>
      </c>
      <c r="N27">
        <f t="shared" si="1"/>
        <v>-0.47871831659493069</v>
      </c>
      <c r="P27">
        <v>3.9857589999999998</v>
      </c>
      <c r="Q27">
        <f t="shared" si="2"/>
        <v>-0.54035672135745272</v>
      </c>
      <c r="S27">
        <v>3.3678349999999999</v>
      </c>
      <c r="T27">
        <f t="shared" si="3"/>
        <v>-0.61161657758857901</v>
      </c>
    </row>
    <row r="28" spans="1:20" x14ac:dyDescent="0.3">
      <c r="A28" t="s">
        <v>34</v>
      </c>
      <c r="B28">
        <v>74.125</v>
      </c>
      <c r="C28">
        <v>1.2643660000000001</v>
      </c>
      <c r="D28">
        <v>1.4127240000000001</v>
      </c>
      <c r="E28">
        <v>0.1114</v>
      </c>
      <c r="F28">
        <v>10</v>
      </c>
      <c r="G28">
        <v>0.15</v>
      </c>
      <c r="H28">
        <v>42</v>
      </c>
      <c r="K28">
        <v>1.5038320000000001</v>
      </c>
      <c r="L28">
        <f t="shared" si="0"/>
        <v>6.4491011690889347E-2</v>
      </c>
      <c r="M28">
        <v>7.2999999999999995E-2</v>
      </c>
      <c r="N28">
        <f t="shared" si="1"/>
        <v>-0.34470377019748655</v>
      </c>
      <c r="P28">
        <v>1.6472340000000001</v>
      </c>
      <c r="Q28">
        <f t="shared" si="2"/>
        <v>0.1659984540504727</v>
      </c>
      <c r="S28">
        <v>1.0533319999999999</v>
      </c>
      <c r="T28">
        <f t="shared" si="3"/>
        <v>-0.25439647093133561</v>
      </c>
    </row>
    <row r="29" spans="1:20" x14ac:dyDescent="0.3">
      <c r="A29" t="s">
        <v>35</v>
      </c>
      <c r="B29">
        <v>69.562999999999903</v>
      </c>
      <c r="C29">
        <v>3.4960680000000002</v>
      </c>
      <c r="D29">
        <v>3.7280920000000002</v>
      </c>
      <c r="E29">
        <v>0.3327</v>
      </c>
      <c r="F29">
        <v>10</v>
      </c>
      <c r="G29">
        <v>0.15</v>
      </c>
      <c r="H29">
        <v>42</v>
      </c>
      <c r="K29">
        <v>3.9445960000000002</v>
      </c>
      <c r="L29">
        <f t="shared" si="0"/>
        <v>5.8073674147526406E-2</v>
      </c>
      <c r="M29">
        <v>0.26200000000000001</v>
      </c>
      <c r="N29">
        <f t="shared" si="1"/>
        <v>-0.21250375713856323</v>
      </c>
      <c r="P29">
        <v>1.6516580000000001</v>
      </c>
      <c r="Q29">
        <f t="shared" si="2"/>
        <v>-0.5569696241401767</v>
      </c>
      <c r="S29">
        <v>1.208359</v>
      </c>
      <c r="T29">
        <f t="shared" si="3"/>
        <v>-0.67587736568732759</v>
      </c>
    </row>
    <row r="30" spans="1:20" x14ac:dyDescent="0.3">
      <c r="A30" t="s">
        <v>36</v>
      </c>
      <c r="B30">
        <v>70.816999999999993</v>
      </c>
      <c r="C30">
        <v>10.763801000000001</v>
      </c>
      <c r="D30">
        <v>11.668438</v>
      </c>
      <c r="E30">
        <v>0.14299999999999999</v>
      </c>
      <c r="F30">
        <v>10</v>
      </c>
      <c r="G30">
        <v>0.15</v>
      </c>
      <c r="H30">
        <v>42</v>
      </c>
      <c r="K30">
        <v>12.341730999999999</v>
      </c>
      <c r="L30">
        <f t="shared" si="0"/>
        <v>5.7702067748913712E-2</v>
      </c>
      <c r="M30">
        <v>0.16800000000000001</v>
      </c>
      <c r="N30">
        <f t="shared" si="1"/>
        <v>0.17482517482517498</v>
      </c>
      <c r="P30">
        <v>9.6610990000000001</v>
      </c>
      <c r="Q30">
        <f t="shared" si="2"/>
        <v>-0.17203150927313493</v>
      </c>
      <c r="S30">
        <v>9.0296710000000004</v>
      </c>
      <c r="T30">
        <f t="shared" si="3"/>
        <v>-0.22614569319389619</v>
      </c>
    </row>
    <row r="31" spans="1:20" x14ac:dyDescent="0.3">
      <c r="A31" t="s">
        <v>37</v>
      </c>
      <c r="B31">
        <v>73.281999999999996</v>
      </c>
      <c r="C31">
        <v>2.328605</v>
      </c>
      <c r="D31">
        <v>2.587094</v>
      </c>
      <c r="E31">
        <v>0.1676</v>
      </c>
      <c r="F31">
        <v>10</v>
      </c>
      <c r="G31">
        <v>0.15</v>
      </c>
      <c r="H31">
        <v>42</v>
      </c>
      <c r="K31">
        <v>2.5200680000000002</v>
      </c>
      <c r="L31">
        <f t="shared" si="0"/>
        <v>-2.5907833267751309E-2</v>
      </c>
      <c r="M31">
        <v>0.122</v>
      </c>
      <c r="N31">
        <f t="shared" si="1"/>
        <v>-0.27207637231503579</v>
      </c>
      <c r="P31">
        <v>1.192636</v>
      </c>
      <c r="Q31">
        <f t="shared" si="2"/>
        <v>-0.53900554057950734</v>
      </c>
      <c r="S31">
        <v>0.68314200000000003</v>
      </c>
      <c r="T31">
        <f t="shared" si="3"/>
        <v>-0.73594233529976094</v>
      </c>
    </row>
    <row r="32" spans="1:20" x14ac:dyDescent="0.3">
      <c r="A32" t="s">
        <v>38</v>
      </c>
      <c r="B32">
        <v>69.802999999999997</v>
      </c>
      <c r="C32">
        <v>9.5603119999999997</v>
      </c>
      <c r="D32">
        <v>10.14939</v>
      </c>
      <c r="E32">
        <v>0.25269999999999998</v>
      </c>
      <c r="F32">
        <v>10</v>
      </c>
      <c r="G32">
        <v>0.15</v>
      </c>
      <c r="H32">
        <v>42</v>
      </c>
      <c r="K32">
        <v>9.6652869999999993</v>
      </c>
      <c r="L32">
        <f t="shared" si="0"/>
        <v>-4.7697743411180479E-2</v>
      </c>
      <c r="M32">
        <v>0.21099999999999999</v>
      </c>
      <c r="N32">
        <f t="shared" si="1"/>
        <v>-0.16501780767708743</v>
      </c>
      <c r="P32">
        <v>7.9937370000000003</v>
      </c>
      <c r="Q32">
        <f t="shared" si="2"/>
        <v>-0.21239237037890946</v>
      </c>
      <c r="S32">
        <v>6.1389009999999997</v>
      </c>
      <c r="T32">
        <f t="shared" si="3"/>
        <v>-0.39514581664513831</v>
      </c>
    </row>
    <row r="33" spans="1:20" x14ac:dyDescent="0.3">
      <c r="A33" t="s">
        <v>39</v>
      </c>
      <c r="B33">
        <v>75.356999999999999</v>
      </c>
      <c r="C33">
        <v>16.682464</v>
      </c>
      <c r="D33">
        <v>17.363434000000002</v>
      </c>
      <c r="E33">
        <v>0.1653</v>
      </c>
      <c r="F33">
        <v>10</v>
      </c>
      <c r="G33">
        <v>0.15</v>
      </c>
      <c r="H33">
        <v>42</v>
      </c>
      <c r="K33">
        <v>17.910862000000002</v>
      </c>
      <c r="L33">
        <f t="shared" si="0"/>
        <v>3.1527634452954409E-2</v>
      </c>
      <c r="M33">
        <v>0.10299999999999999</v>
      </c>
      <c r="N33">
        <f t="shared" si="1"/>
        <v>-0.37689050211736241</v>
      </c>
      <c r="P33">
        <v>14.496384000000001</v>
      </c>
      <c r="Q33">
        <f t="shared" si="2"/>
        <v>-0.16511998720990331</v>
      </c>
      <c r="S33">
        <v>12.676367000000001</v>
      </c>
      <c r="T33">
        <f t="shared" si="3"/>
        <v>-0.26993894180148931</v>
      </c>
    </row>
    <row r="34" spans="1:20" x14ac:dyDescent="0.3">
      <c r="A34" t="s">
        <v>40</v>
      </c>
      <c r="B34">
        <v>73.795000000000002</v>
      </c>
      <c r="C34">
        <v>4.1868030000000003</v>
      </c>
      <c r="D34">
        <v>4.8267379999999998</v>
      </c>
      <c r="E34">
        <v>0.16900000000000001</v>
      </c>
      <c r="F34">
        <v>10</v>
      </c>
      <c r="G34">
        <v>0.15</v>
      </c>
      <c r="H34">
        <v>42</v>
      </c>
      <c r="K34">
        <v>3.80592</v>
      </c>
      <c r="L34">
        <f t="shared" si="0"/>
        <v>-0.21149231634283855</v>
      </c>
      <c r="M34">
        <v>0.13400000000000001</v>
      </c>
      <c r="N34">
        <f t="shared" si="1"/>
        <v>-0.20710059171597633</v>
      </c>
      <c r="P34">
        <v>1.119021</v>
      </c>
      <c r="Q34">
        <f t="shared" si="2"/>
        <v>-0.76816205893089695</v>
      </c>
      <c r="S34">
        <v>0.79929499999999998</v>
      </c>
      <c r="T34">
        <f t="shared" si="3"/>
        <v>-0.83440265454640383</v>
      </c>
    </row>
    <row r="35" spans="1:20" x14ac:dyDescent="0.3">
      <c r="A35" t="s">
        <v>41</v>
      </c>
      <c r="B35">
        <v>68.896000000000001</v>
      </c>
      <c r="C35">
        <v>2.4889640000000002</v>
      </c>
      <c r="D35">
        <v>3.1487240000000001</v>
      </c>
      <c r="E35">
        <v>0.193</v>
      </c>
      <c r="F35">
        <v>10</v>
      </c>
      <c r="G35">
        <v>0.15</v>
      </c>
      <c r="H35">
        <v>42</v>
      </c>
      <c r="K35">
        <v>2.4326140000000001</v>
      </c>
      <c r="L35">
        <f t="shared" si="0"/>
        <v>-0.22742863458340584</v>
      </c>
      <c r="M35">
        <v>0.13300000000000001</v>
      </c>
      <c r="N35">
        <f t="shared" si="1"/>
        <v>-0.31088082901554404</v>
      </c>
      <c r="P35">
        <v>1.9990000000000001</v>
      </c>
      <c r="Q35">
        <f t="shared" si="2"/>
        <v>-0.36513965657199549</v>
      </c>
      <c r="S35">
        <v>1.973122</v>
      </c>
      <c r="T35">
        <f t="shared" si="3"/>
        <v>-0.37335822383924411</v>
      </c>
    </row>
    <row r="36" spans="1:20" x14ac:dyDescent="0.3">
      <c r="A36" t="s">
        <v>42</v>
      </c>
      <c r="B36">
        <v>72.56</v>
      </c>
      <c r="C36">
        <v>5.5836579999999998</v>
      </c>
      <c r="D36">
        <v>6.171977</v>
      </c>
      <c r="E36">
        <v>0.26619999999999999</v>
      </c>
      <c r="F36">
        <v>10</v>
      </c>
      <c r="G36">
        <v>0.15</v>
      </c>
      <c r="H36">
        <v>42</v>
      </c>
      <c r="K36">
        <v>6.0435699999999999</v>
      </c>
      <c r="L36">
        <f t="shared" si="0"/>
        <v>-2.0804840977210408E-2</v>
      </c>
      <c r="M36">
        <v>0.222</v>
      </c>
      <c r="N36">
        <f t="shared" si="1"/>
        <v>-0.16604057099924865</v>
      </c>
      <c r="P36">
        <v>2.391149</v>
      </c>
      <c r="Q36">
        <f t="shared" si="2"/>
        <v>-0.61257972931525828</v>
      </c>
      <c r="S36">
        <v>2.2673320000000001</v>
      </c>
      <c r="T36">
        <f t="shared" si="3"/>
        <v>-0.63264088638049043</v>
      </c>
    </row>
    <row r="37" spans="1:20" x14ac:dyDescent="0.3">
      <c r="A37" t="s">
        <v>43</v>
      </c>
      <c r="B37">
        <v>74.573999999999998</v>
      </c>
      <c r="C37">
        <v>1.554133</v>
      </c>
      <c r="D37">
        <v>2.3103250000000002</v>
      </c>
      <c r="E37">
        <v>0.21010000000000001</v>
      </c>
      <c r="F37">
        <v>10</v>
      </c>
      <c r="G37">
        <v>0.15</v>
      </c>
      <c r="H37">
        <v>42</v>
      </c>
      <c r="K37">
        <v>2.4645760000000001</v>
      </c>
      <c r="L37">
        <f t="shared" si="0"/>
        <v>6.6765931200155781E-2</v>
      </c>
      <c r="M37">
        <v>0.14000000000000001</v>
      </c>
      <c r="N37">
        <f t="shared" si="1"/>
        <v>-0.33365064255116605</v>
      </c>
      <c r="P37">
        <v>0.62617299999999998</v>
      </c>
      <c r="Q37">
        <f t="shared" si="2"/>
        <v>-0.72896756949779795</v>
      </c>
      <c r="S37">
        <v>0.54358600000000001</v>
      </c>
      <c r="T37">
        <f t="shared" si="3"/>
        <v>-0.76471448822135424</v>
      </c>
    </row>
    <row r="38" spans="1:20" x14ac:dyDescent="0.3">
      <c r="A38" t="s">
        <v>44</v>
      </c>
      <c r="B38">
        <v>71.947999999999993</v>
      </c>
      <c r="C38">
        <v>7.8524919999999998</v>
      </c>
      <c r="D38">
        <v>8.3548500000000008</v>
      </c>
      <c r="E38">
        <v>0.2576</v>
      </c>
      <c r="F38">
        <v>10</v>
      </c>
      <c r="G38">
        <v>0.15</v>
      </c>
      <c r="H38">
        <v>42</v>
      </c>
      <c r="K38">
        <v>7.869294</v>
      </c>
      <c r="L38">
        <f t="shared" si="0"/>
        <v>-5.8116662776710619E-2</v>
      </c>
      <c r="M38">
        <v>0.154</v>
      </c>
      <c r="N38">
        <f t="shared" si="1"/>
        <v>-0.40217391304347827</v>
      </c>
      <c r="P38">
        <v>5.0538569999999998</v>
      </c>
      <c r="Q38">
        <f t="shared" si="2"/>
        <v>-0.39509901434496136</v>
      </c>
      <c r="S38">
        <v>4.0523910000000001</v>
      </c>
      <c r="T38">
        <f t="shared" si="3"/>
        <v>-0.514965439235893</v>
      </c>
    </row>
    <row r="39" spans="1:20" x14ac:dyDescent="0.3">
      <c r="A39" t="s">
        <v>45</v>
      </c>
      <c r="B39">
        <v>73.23</v>
      </c>
      <c r="C39">
        <v>4.4306960000000002</v>
      </c>
      <c r="D39">
        <v>5.1105460000000003</v>
      </c>
      <c r="E39">
        <v>0.15809999999999999</v>
      </c>
      <c r="F39">
        <v>10</v>
      </c>
      <c r="G39">
        <v>0.15</v>
      </c>
      <c r="H39">
        <v>42</v>
      </c>
      <c r="K39">
        <v>4.7660130000000001</v>
      </c>
      <c r="L39">
        <f t="shared" si="0"/>
        <v>-6.7416084308799917E-2</v>
      </c>
      <c r="M39">
        <v>0.152</v>
      </c>
      <c r="N39">
        <f t="shared" si="1"/>
        <v>-3.8583175205566062E-2</v>
      </c>
      <c r="P39">
        <v>1.4476519999999999</v>
      </c>
      <c r="Q39">
        <f t="shared" si="2"/>
        <v>-0.71673241958882683</v>
      </c>
      <c r="S39">
        <v>0.89501500000000001</v>
      </c>
      <c r="T39">
        <f t="shared" si="3"/>
        <v>-0.82486900616881254</v>
      </c>
    </row>
    <row r="40" spans="1:20" x14ac:dyDescent="0.3">
      <c r="A40" t="s">
        <v>46</v>
      </c>
      <c r="B40">
        <v>69.903999999999897</v>
      </c>
      <c r="C40">
        <v>5.4714200000000002</v>
      </c>
      <c r="D40">
        <v>6.1772609999999997</v>
      </c>
      <c r="E40">
        <v>8.6599999999999996E-2</v>
      </c>
      <c r="F40">
        <v>10</v>
      </c>
      <c r="G40">
        <v>0.15</v>
      </c>
      <c r="H40">
        <v>42</v>
      </c>
      <c r="K40">
        <v>5.9829540000000003</v>
      </c>
      <c r="L40">
        <f t="shared" si="0"/>
        <v>-3.1455203204138429E-2</v>
      </c>
      <c r="M40">
        <v>5.7000000000000002E-2</v>
      </c>
      <c r="N40">
        <f t="shared" si="1"/>
        <v>-0.34180138568129326</v>
      </c>
      <c r="P40">
        <v>1.7421199999999999</v>
      </c>
      <c r="Q40">
        <f t="shared" si="2"/>
        <v>-0.7179785668761608</v>
      </c>
      <c r="S40">
        <v>1.2995620000000001</v>
      </c>
      <c r="T40">
        <f t="shared" si="3"/>
        <v>-0.78962164622799658</v>
      </c>
    </row>
    <row r="41" spans="1:20" x14ac:dyDescent="0.3">
      <c r="A41" t="s">
        <v>47</v>
      </c>
      <c r="B41">
        <v>71.311999999999898</v>
      </c>
      <c r="C41">
        <v>3.0884390000000002</v>
      </c>
      <c r="D41">
        <v>3.794591</v>
      </c>
      <c r="E41">
        <v>0.12690000000000001</v>
      </c>
      <c r="F41">
        <v>10</v>
      </c>
      <c r="G41">
        <v>0.15</v>
      </c>
      <c r="H41">
        <v>42</v>
      </c>
      <c r="K41">
        <v>3.532451</v>
      </c>
      <c r="L41">
        <f t="shared" si="0"/>
        <v>-6.9082544073919963E-2</v>
      </c>
      <c r="M41">
        <v>0.114</v>
      </c>
      <c r="N41">
        <f t="shared" si="1"/>
        <v>-0.10165484633569746</v>
      </c>
      <c r="P41">
        <v>0.828488</v>
      </c>
      <c r="Q41">
        <f t="shared" si="2"/>
        <v>-0.78166606097995806</v>
      </c>
      <c r="S41">
        <v>0.67460699999999996</v>
      </c>
      <c r="T41">
        <f t="shared" si="3"/>
        <v>-0.82221878458047259</v>
      </c>
    </row>
    <row r="42" spans="1:20" x14ac:dyDescent="0.3">
      <c r="A42" t="s">
        <v>48</v>
      </c>
      <c r="B42">
        <v>71.324999999999903</v>
      </c>
      <c r="C42">
        <v>11.231074</v>
      </c>
      <c r="D42">
        <v>11.723694999999999</v>
      </c>
      <c r="E42">
        <v>0.1157</v>
      </c>
      <c r="F42">
        <v>10</v>
      </c>
      <c r="G42">
        <v>0.15</v>
      </c>
      <c r="H42">
        <v>42</v>
      </c>
      <c r="K42">
        <v>11.026391</v>
      </c>
      <c r="L42">
        <f t="shared" si="0"/>
        <v>-5.9478176462284212E-2</v>
      </c>
      <c r="M42">
        <v>7.4999999999999997E-2</v>
      </c>
      <c r="N42">
        <f t="shared" si="1"/>
        <v>-0.35177182368193605</v>
      </c>
      <c r="P42">
        <v>7.5716710000000003</v>
      </c>
      <c r="Q42">
        <f t="shared" si="2"/>
        <v>-0.35415660335755916</v>
      </c>
      <c r="S42">
        <v>7.3543830000000003</v>
      </c>
      <c r="T42">
        <f t="shared" si="3"/>
        <v>-0.37269069179981218</v>
      </c>
    </row>
    <row r="43" spans="1:20" x14ac:dyDescent="0.3">
      <c r="A43" t="s">
        <v>49</v>
      </c>
      <c r="B43">
        <v>73.494</v>
      </c>
      <c r="C43">
        <v>3.62269</v>
      </c>
      <c r="D43">
        <v>4.0471069999999996</v>
      </c>
      <c r="E43">
        <v>0.33300000000000002</v>
      </c>
      <c r="F43">
        <v>10</v>
      </c>
      <c r="G43">
        <v>0.15</v>
      </c>
      <c r="H43">
        <v>42</v>
      </c>
      <c r="K43">
        <v>4.4241549999999998</v>
      </c>
      <c r="L43">
        <f t="shared" si="0"/>
        <v>9.3164821192026875E-2</v>
      </c>
      <c r="M43">
        <v>0.36499999999999999</v>
      </c>
      <c r="N43">
        <f t="shared" si="1"/>
        <v>9.6096096096096012E-2</v>
      </c>
      <c r="P43">
        <v>1.079159</v>
      </c>
      <c r="Q43">
        <f t="shared" si="2"/>
        <v>-0.73335051433035991</v>
      </c>
      <c r="S43">
        <v>0.94173899999999999</v>
      </c>
      <c r="T43">
        <f t="shared" si="3"/>
        <v>-0.7673056333820677</v>
      </c>
    </row>
    <row r="44" spans="1:20" x14ac:dyDescent="0.3">
      <c r="A44" t="s">
        <v>50</v>
      </c>
      <c r="B44">
        <v>70.475999999999999</v>
      </c>
      <c r="C44">
        <v>7.2169949999999998</v>
      </c>
      <c r="D44">
        <v>8.2484640000000002</v>
      </c>
      <c r="E44">
        <v>0.51160000000000005</v>
      </c>
      <c r="F44">
        <v>10</v>
      </c>
      <c r="G44">
        <v>0.15</v>
      </c>
      <c r="H44">
        <v>42</v>
      </c>
      <c r="K44">
        <v>9.0705869999999997</v>
      </c>
      <c r="L44">
        <f t="shared" si="0"/>
        <v>9.9669829437335183E-2</v>
      </c>
      <c r="M44">
        <v>0.39300000000000002</v>
      </c>
      <c r="N44">
        <f t="shared" si="1"/>
        <v>-0.23182173573103992</v>
      </c>
      <c r="P44">
        <v>3.1682610000000002</v>
      </c>
      <c r="Q44">
        <f t="shared" si="2"/>
        <v>-0.61589685061364152</v>
      </c>
      <c r="S44">
        <v>2.554462</v>
      </c>
      <c r="T44">
        <f t="shared" si="3"/>
        <v>-0.69031058388567856</v>
      </c>
    </row>
    <row r="45" spans="1:20" x14ac:dyDescent="0.3">
      <c r="A45" t="s">
        <v>51</v>
      </c>
      <c r="B45">
        <v>74.120999999999995</v>
      </c>
      <c r="C45">
        <v>7.284287</v>
      </c>
      <c r="D45">
        <v>7.8166399999999996</v>
      </c>
      <c r="E45">
        <v>0.46429999999999999</v>
      </c>
      <c r="F45">
        <v>10</v>
      </c>
      <c r="G45">
        <v>0.15</v>
      </c>
      <c r="H45">
        <v>42</v>
      </c>
      <c r="K45">
        <v>6.8093750000000002</v>
      </c>
      <c r="L45">
        <f t="shared" si="0"/>
        <v>-0.12886163364309977</v>
      </c>
      <c r="M45">
        <v>0.33200000000000002</v>
      </c>
      <c r="N45">
        <f t="shared" si="1"/>
        <v>-0.2849450786129657</v>
      </c>
      <c r="P45">
        <v>3.8055129999999999</v>
      </c>
      <c r="Q45">
        <f t="shared" si="2"/>
        <v>-0.51315232631923691</v>
      </c>
      <c r="S45">
        <v>3.1485270000000001</v>
      </c>
      <c r="T45">
        <f t="shared" si="3"/>
        <v>-0.59720199471895852</v>
      </c>
    </row>
    <row r="46" spans="1:20" x14ac:dyDescent="0.3">
      <c r="A46" t="s">
        <v>52</v>
      </c>
      <c r="B46">
        <v>74.206000000000003</v>
      </c>
      <c r="C46">
        <v>1.1585529999999999</v>
      </c>
      <c r="D46">
        <v>1.274545</v>
      </c>
      <c r="E46">
        <v>7.5399999999999995E-2</v>
      </c>
      <c r="F46">
        <v>10</v>
      </c>
      <c r="G46">
        <v>0.15</v>
      </c>
      <c r="H46">
        <v>42</v>
      </c>
      <c r="K46">
        <v>0.97067300000000001</v>
      </c>
      <c r="L46">
        <f t="shared" si="0"/>
        <v>-0.23841606220258996</v>
      </c>
      <c r="M46">
        <v>5.1999999999999998E-2</v>
      </c>
      <c r="N46">
        <f t="shared" si="1"/>
        <v>-0.31034482758620691</v>
      </c>
      <c r="P46">
        <v>0.16059100000000001</v>
      </c>
      <c r="Q46">
        <f t="shared" si="2"/>
        <v>-0.87400131027150874</v>
      </c>
      <c r="S46">
        <v>0.16417499999999999</v>
      </c>
      <c r="T46">
        <f t="shared" si="3"/>
        <v>-0.8711893263870637</v>
      </c>
    </row>
    <row r="47" spans="1:20" x14ac:dyDescent="0.3">
      <c r="A47" t="s">
        <v>53</v>
      </c>
      <c r="B47">
        <v>75.048000000000002</v>
      </c>
      <c r="C47">
        <v>3.1601029999999999</v>
      </c>
      <c r="D47">
        <v>3.3171300000000001</v>
      </c>
      <c r="E47">
        <v>0.16719999999999999</v>
      </c>
      <c r="F47">
        <v>10</v>
      </c>
      <c r="G47">
        <v>0.15</v>
      </c>
      <c r="H47">
        <v>42</v>
      </c>
      <c r="K47">
        <v>3.2869709999999999</v>
      </c>
      <c r="L47">
        <f t="shared" si="0"/>
        <v>-9.0918957050221925E-3</v>
      </c>
      <c r="M47">
        <v>9.5000000000000001E-2</v>
      </c>
      <c r="N47">
        <f t="shared" si="1"/>
        <v>-0.43181818181818177</v>
      </c>
      <c r="P47">
        <v>1.0300419999999999</v>
      </c>
      <c r="Q47">
        <f t="shared" si="2"/>
        <v>-0.68947795232625797</v>
      </c>
      <c r="S47">
        <v>0.51331599999999999</v>
      </c>
      <c r="T47">
        <f t="shared" si="3"/>
        <v>-0.84525297471006555</v>
      </c>
    </row>
    <row r="48" spans="1:20" x14ac:dyDescent="0.3">
      <c r="A48" t="s">
        <v>54</v>
      </c>
      <c r="B48">
        <v>73.811999999999998</v>
      </c>
      <c r="C48">
        <v>9.5778590000000001</v>
      </c>
      <c r="D48">
        <v>10.792999</v>
      </c>
      <c r="E48">
        <v>0.30869999999999997</v>
      </c>
      <c r="F48">
        <v>10</v>
      </c>
      <c r="G48">
        <v>0.15</v>
      </c>
      <c r="H48">
        <v>42</v>
      </c>
      <c r="K48">
        <v>9.5083310000000001</v>
      </c>
      <c r="L48">
        <f t="shared" si="0"/>
        <v>-0.11902789947446488</v>
      </c>
      <c r="M48">
        <v>0.19500000000000001</v>
      </c>
      <c r="N48">
        <f t="shared" si="1"/>
        <v>-0.36831875607385806</v>
      </c>
      <c r="P48">
        <v>4.2164830000000002</v>
      </c>
      <c r="Q48">
        <f t="shared" si="2"/>
        <v>-0.60933166027347907</v>
      </c>
      <c r="S48">
        <v>3.7108240000000001</v>
      </c>
      <c r="T48">
        <f t="shared" si="3"/>
        <v>-0.65618230855019999</v>
      </c>
    </row>
    <row r="49" spans="1:20" x14ac:dyDescent="0.3">
      <c r="A49" t="s">
        <v>55</v>
      </c>
      <c r="B49">
        <v>73.022999999999996</v>
      </c>
      <c r="C49">
        <v>2.445713</v>
      </c>
      <c r="D49">
        <v>2.804192</v>
      </c>
      <c r="E49">
        <v>0.1062</v>
      </c>
      <c r="F49">
        <v>10</v>
      </c>
      <c r="G49">
        <v>0.15</v>
      </c>
      <c r="H49">
        <v>42</v>
      </c>
      <c r="K49">
        <v>3.1081319999999999</v>
      </c>
      <c r="L49">
        <f t="shared" si="0"/>
        <v>0.10838772808709242</v>
      </c>
      <c r="M49">
        <v>5.6000000000000001E-2</v>
      </c>
      <c r="N49">
        <f t="shared" si="1"/>
        <v>-0.47269303201506591</v>
      </c>
      <c r="P49">
        <v>1.8188800000000001</v>
      </c>
      <c r="Q49">
        <f t="shared" si="2"/>
        <v>-0.35137109013933426</v>
      </c>
      <c r="S49">
        <v>1.363337</v>
      </c>
      <c r="T49">
        <f t="shared" si="3"/>
        <v>-0.51382180678070544</v>
      </c>
    </row>
    <row r="50" spans="1:20" x14ac:dyDescent="0.3">
      <c r="A50" t="s">
        <v>56</v>
      </c>
      <c r="B50">
        <v>72.356999999999999</v>
      </c>
      <c r="C50">
        <v>8.1082470000000004</v>
      </c>
      <c r="D50">
        <v>8.6302430000000001</v>
      </c>
      <c r="E50">
        <v>4.0599999999999997E-2</v>
      </c>
      <c r="F50">
        <v>10</v>
      </c>
      <c r="G50">
        <v>0.15</v>
      </c>
      <c r="H50">
        <v>42</v>
      </c>
      <c r="K50">
        <v>6.6698310000000003</v>
      </c>
      <c r="L50">
        <f t="shared" si="0"/>
        <v>-0.22715606037975986</v>
      </c>
      <c r="M50">
        <v>2.8000000000000001E-2</v>
      </c>
      <c r="N50">
        <f t="shared" si="1"/>
        <v>-0.31034482758620685</v>
      </c>
      <c r="P50">
        <v>2.6377000000000002</v>
      </c>
      <c r="Q50">
        <f t="shared" si="2"/>
        <v>-0.69436550048474877</v>
      </c>
      <c r="S50">
        <v>2.5422889999999998</v>
      </c>
      <c r="T50">
        <f t="shared" si="3"/>
        <v>-0.70542092499597053</v>
      </c>
    </row>
    <row r="51" spans="1:20" x14ac:dyDescent="0.3">
      <c r="A51" t="s">
        <v>57</v>
      </c>
      <c r="B51">
        <v>73.927999999999898</v>
      </c>
      <c r="C51">
        <v>2.7408389999999998</v>
      </c>
      <c r="D51">
        <v>3.3440240000000001</v>
      </c>
      <c r="E51">
        <v>0.1167</v>
      </c>
      <c r="F51">
        <v>10</v>
      </c>
      <c r="G51">
        <v>0.15</v>
      </c>
      <c r="H51">
        <v>42</v>
      </c>
      <c r="K51">
        <v>2.920347</v>
      </c>
      <c r="L51">
        <f t="shared" si="0"/>
        <v>-0.12669675815723813</v>
      </c>
      <c r="M51">
        <v>8.2000000000000003E-2</v>
      </c>
      <c r="N51">
        <f t="shared" si="1"/>
        <v>-0.29734361610968291</v>
      </c>
      <c r="P51">
        <v>1.519692</v>
      </c>
      <c r="Q51">
        <f t="shared" si="2"/>
        <v>-0.54554991232120342</v>
      </c>
      <c r="S51">
        <v>0.92646600000000001</v>
      </c>
      <c r="T51">
        <f t="shared" si="3"/>
        <v>-0.72294875874096598</v>
      </c>
    </row>
    <row r="52" spans="1:20" x14ac:dyDescent="0.3">
      <c r="K52" t="s">
        <v>58</v>
      </c>
      <c r="L52">
        <f>AVERAGE(L2:L51)</f>
        <v>-4.2248677948268101E-2</v>
      </c>
      <c r="M52" t="s">
        <v>59</v>
      </c>
      <c r="N52">
        <f t="shared" ref="M52:N52" si="4">AVERAGE(N2:N51)</f>
        <v>-0.23482431638184173</v>
      </c>
      <c r="Q52">
        <f>AVERAGE(Q2:Q51)</f>
        <v>-0.4988677411863866</v>
      </c>
      <c r="T52">
        <f t="shared" ref="R52:T52" si="5">AVERAGE(T2:T51)</f>
        <v>-0.59681002043213416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grasp_metrics_all_scenarios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anhlp2000</dc:creator>
  <cp:lastModifiedBy>Windows User</cp:lastModifiedBy>
  <dcterms:created xsi:type="dcterms:W3CDTF">2026-05-14T01:31:21Z</dcterms:created>
  <dcterms:modified xsi:type="dcterms:W3CDTF">2026-05-14T02:08:13Z</dcterms:modified>
</cp:coreProperties>
</file>